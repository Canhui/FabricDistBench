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PhaseBench\"/>
    </mc:Choice>
  </mc:AlternateContent>
  <xr:revisionPtr revIDLastSave="0" documentId="13_ncr:1_{8F32309E-AF10-42A2-9D7C-0D24B84C0534}" xr6:coauthVersionLast="47" xr6:coauthVersionMax="47" xr10:uidLastSave="{00000000-0000-0000-0000-000000000000}"/>
  <bookViews>
    <workbookView xWindow="1920" yWindow="4530" windowWidth="1959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4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6" i="1"/>
  <c r="E7" i="1"/>
  <c r="E5" i="1"/>
  <c r="E4" i="1"/>
</calcChain>
</file>

<file path=xl/sharedStrings.xml><?xml version="1.0" encoding="utf-8"?>
<sst xmlns="http://schemas.openxmlformats.org/spreadsheetml/2006/main" count="6" uniqueCount="5">
  <si>
    <t>Measure derived</t>
    <phoneticPr fontId="1" type="noConversion"/>
  </si>
  <si>
    <t>Model</t>
    <phoneticPr fontId="1" type="noConversion"/>
  </si>
  <si>
    <t>Measure</t>
    <phoneticPr fontId="1" type="noConversion"/>
  </si>
  <si>
    <t>The throughput and latency of an endorsing peer with c=1,2,4 CPU cores in cluster one</t>
    <phoneticPr fontId="1" type="noConversion"/>
  </si>
  <si>
    <t>The throughput and latency of an endorsing peer with c=1,2,4 CPU cores in cluster two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</si>
</sst>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</xdr:row>
          <xdr:rowOff>123825</xdr:rowOff>
        </xdr:from>
        <xdr:to>
          <xdr:col>1</xdr:col>
          <xdr:colOff>381000</xdr:colOff>
          <xdr:row>2</xdr:row>
          <xdr:rowOff>57150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571500</xdr:colOff>
          <xdr:row>2</xdr:row>
          <xdr:rowOff>19050</xdr:rowOff>
        </xdr:from>
        <xdr:to>
          <xdr:col>2</xdr:col>
          <xdr:colOff>733425</xdr:colOff>
          <xdr:row>2</xdr:row>
          <xdr:rowOff>190500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2</xdr:row>
          <xdr:rowOff>0</xdr:rowOff>
        </xdr:from>
        <xdr:to>
          <xdr:col>3</xdr:col>
          <xdr:colOff>428625</xdr:colOff>
          <xdr:row>2</xdr:row>
          <xdr:rowOff>190500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</xdr:row>
          <xdr:rowOff>9525</xdr:rowOff>
        </xdr:from>
        <xdr:to>
          <xdr:col>4</xdr:col>
          <xdr:colOff>438150</xdr:colOff>
          <xdr:row>2</xdr:row>
          <xdr:rowOff>200025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</xdr:row>
          <xdr:rowOff>0</xdr:rowOff>
        </xdr:from>
        <xdr:to>
          <xdr:col>5</xdr:col>
          <xdr:colOff>447675</xdr:colOff>
          <xdr:row>2</xdr:row>
          <xdr:rowOff>238125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2</xdr:row>
          <xdr:rowOff>0</xdr:rowOff>
        </xdr:from>
        <xdr:to>
          <xdr:col>9</xdr:col>
          <xdr:colOff>847725</xdr:colOff>
          <xdr:row>2</xdr:row>
          <xdr:rowOff>238125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276225</xdr:colOff>
          <xdr:row>2</xdr:row>
          <xdr:rowOff>0</xdr:rowOff>
        </xdr:from>
        <xdr:to>
          <xdr:col>12</xdr:col>
          <xdr:colOff>438150</xdr:colOff>
          <xdr:row>2</xdr:row>
          <xdr:rowOff>161925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</xdr:row>
          <xdr:rowOff>0</xdr:rowOff>
        </xdr:from>
        <xdr:to>
          <xdr:col>6</xdr:col>
          <xdr:colOff>742950</xdr:colOff>
          <xdr:row>2</xdr:row>
          <xdr:rowOff>257175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2</xdr:row>
          <xdr:rowOff>0</xdr:rowOff>
        </xdr:from>
        <xdr:to>
          <xdr:col>7</xdr:col>
          <xdr:colOff>838200</xdr:colOff>
          <xdr:row>2</xdr:row>
          <xdr:rowOff>257175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2</xdr:row>
          <xdr:rowOff>0</xdr:rowOff>
        </xdr:from>
        <xdr:to>
          <xdr:col>8</xdr:col>
          <xdr:colOff>876300</xdr:colOff>
          <xdr:row>2</xdr:row>
          <xdr:rowOff>257175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295275</xdr:colOff>
          <xdr:row>2</xdr:row>
          <xdr:rowOff>38100</xdr:rowOff>
        </xdr:from>
        <xdr:to>
          <xdr:col>13</xdr:col>
          <xdr:colOff>409575</xdr:colOff>
          <xdr:row>2</xdr:row>
          <xdr:rowOff>171450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66675</xdr:colOff>
          <xdr:row>2</xdr:row>
          <xdr:rowOff>0</xdr:rowOff>
        </xdr:from>
        <xdr:to>
          <xdr:col>18</xdr:col>
          <xdr:colOff>647700</xdr:colOff>
          <xdr:row>2</xdr:row>
          <xdr:rowOff>228600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2</xdr:row>
          <xdr:rowOff>0</xdr:rowOff>
        </xdr:from>
        <xdr:to>
          <xdr:col>19</xdr:col>
          <xdr:colOff>676275</xdr:colOff>
          <xdr:row>2</xdr:row>
          <xdr:rowOff>228600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</xdr:row>
          <xdr:rowOff>0</xdr:rowOff>
        </xdr:from>
        <xdr:to>
          <xdr:col>14</xdr:col>
          <xdr:colOff>762000</xdr:colOff>
          <xdr:row>2</xdr:row>
          <xdr:rowOff>180975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2</xdr:row>
          <xdr:rowOff>0</xdr:rowOff>
        </xdr:from>
        <xdr:to>
          <xdr:col>17</xdr:col>
          <xdr:colOff>647700</xdr:colOff>
          <xdr:row>2</xdr:row>
          <xdr:rowOff>200025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123825</xdr:colOff>
          <xdr:row>2</xdr:row>
          <xdr:rowOff>0</xdr:rowOff>
        </xdr:from>
        <xdr:to>
          <xdr:col>10</xdr:col>
          <xdr:colOff>847725</xdr:colOff>
          <xdr:row>2</xdr:row>
          <xdr:rowOff>238125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2</xdr:row>
          <xdr:rowOff>0</xdr:rowOff>
        </xdr:from>
        <xdr:to>
          <xdr:col>11</xdr:col>
          <xdr:colOff>866775</xdr:colOff>
          <xdr:row>2</xdr:row>
          <xdr:rowOff>238125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2</xdr:row>
          <xdr:rowOff>0</xdr:rowOff>
        </xdr:from>
        <xdr:to>
          <xdr:col>15</xdr:col>
          <xdr:colOff>781050</xdr:colOff>
          <xdr:row>2</xdr:row>
          <xdr:rowOff>200025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</xdr:row>
          <xdr:rowOff>0</xdr:rowOff>
        </xdr:from>
        <xdr:to>
          <xdr:col>16</xdr:col>
          <xdr:colOff>790575</xdr:colOff>
          <xdr:row>2</xdr:row>
          <xdr:rowOff>200025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31</xdr:row>
          <xdr:rowOff>123825</xdr:rowOff>
        </xdr:from>
        <xdr:to>
          <xdr:col>1</xdr:col>
          <xdr:colOff>381000</xdr:colOff>
          <xdr:row>32</xdr:row>
          <xdr:rowOff>57150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60D3D214-AC5E-439F-86B0-BC3EB8BEB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571500</xdr:colOff>
          <xdr:row>32</xdr:row>
          <xdr:rowOff>19050</xdr:rowOff>
        </xdr:from>
        <xdr:to>
          <xdr:col>2</xdr:col>
          <xdr:colOff>733425</xdr:colOff>
          <xdr:row>33</xdr:row>
          <xdr:rowOff>9525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B61E0D7B-955F-4F73-AD91-5B8C0F3B8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6.bin"/><Relationship Id="rId42" Type="http://schemas.openxmlformats.org/officeDocument/2006/relationships/oleObject" Target="../embeddings/oleObject20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40" Type="http://schemas.openxmlformats.org/officeDocument/2006/relationships/oleObject" Target="../embeddings/oleObject19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43" Type="http://schemas.openxmlformats.org/officeDocument/2006/relationships/oleObject" Target="../embeddings/oleObject21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0"/>
  <sheetViews>
    <sheetView tabSelected="1" topLeftCell="A10" workbookViewId="0">
      <selection activeCell="I32" sqref="I32"/>
    </sheetView>
  </sheetViews>
  <sheetFormatPr defaultRowHeight="14.25" x14ac:dyDescent="0.2"/>
  <cols>
    <col min="3" max="3" width="17.5" customWidth="1"/>
    <col min="7" max="7" width="11" customWidth="1"/>
    <col min="8" max="8" width="12.625" customWidth="1"/>
    <col min="9" max="9" width="12.875" customWidth="1"/>
    <col min="10" max="12" width="12.25" customWidth="1"/>
    <col min="15" max="15" width="11.5" customWidth="1"/>
    <col min="16" max="16" width="11.125" customWidth="1"/>
    <col min="17" max="17" width="10.75" customWidth="1"/>
  </cols>
  <sheetData>
    <row r="1" spans="2:20" x14ac:dyDescent="0.2">
      <c r="B1" s="3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2">
      <c r="B2" s="4"/>
      <c r="C2" s="3" t="s">
        <v>0</v>
      </c>
      <c r="D2" s="3"/>
      <c r="E2" s="3"/>
      <c r="F2" s="3"/>
      <c r="G2" s="3"/>
      <c r="H2" s="3"/>
      <c r="I2" s="3"/>
      <c r="J2" s="3" t="s">
        <v>2</v>
      </c>
      <c r="K2" s="3"/>
      <c r="L2" s="3"/>
      <c r="M2" s="3"/>
      <c r="N2" s="3"/>
      <c r="O2" s="3" t="s">
        <v>1</v>
      </c>
      <c r="P2" s="3"/>
      <c r="Q2" s="3"/>
      <c r="R2" s="3"/>
      <c r="S2" s="3"/>
      <c r="T2" s="3"/>
    </row>
    <row r="3" spans="2:20" ht="26.25" customHeight="1" x14ac:dyDescent="0.2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2">
      <c r="B4">
        <v>1</v>
      </c>
      <c r="C4">
        <v>209</v>
      </c>
      <c r="D4">
        <v>780</v>
      </c>
      <c r="E4" s="1">
        <f>C4/D4/B4</f>
        <v>0.26794871794871794</v>
      </c>
      <c r="F4" s="1">
        <f>1/D4</f>
        <v>1.2820512820512821E-3</v>
      </c>
      <c r="G4" s="1">
        <v>2.0000000000000001E-4</v>
      </c>
      <c r="H4" s="1">
        <v>4.0000000000000002E-4</v>
      </c>
      <c r="I4" s="1">
        <v>4.0000000000000002E-4</v>
      </c>
      <c r="M4" s="1">
        <v>0.28520000000000001</v>
      </c>
      <c r="N4" s="1">
        <v>1.03E-2</v>
      </c>
    </row>
    <row r="5" spans="2:20" x14ac:dyDescent="0.2">
      <c r="B5">
        <v>1</v>
      </c>
      <c r="C5">
        <v>287</v>
      </c>
      <c r="D5">
        <v>780</v>
      </c>
      <c r="E5" s="1">
        <f>C5/D5/B5</f>
        <v>0.36794871794871797</v>
      </c>
      <c r="F5" s="1">
        <f t="shared" ref="F5:F27" si="0">1/D5</f>
        <v>1.2820512820512821E-3</v>
      </c>
      <c r="G5">
        <v>2.9999999999999997E-4</v>
      </c>
      <c r="H5">
        <v>6.9999999999999999E-4</v>
      </c>
      <c r="I5">
        <v>5.0000000000000001E-4</v>
      </c>
      <c r="M5">
        <v>0.4133</v>
      </c>
      <c r="N5">
        <v>1.4500000000000001E-2</v>
      </c>
    </row>
    <row r="6" spans="2:20" x14ac:dyDescent="0.2">
      <c r="B6">
        <v>1</v>
      </c>
      <c r="C6">
        <v>337</v>
      </c>
      <c r="D6">
        <v>780</v>
      </c>
      <c r="E6" s="1">
        <f t="shared" ref="E6:E27" si="1">C6/D6/B6</f>
        <v>0.43205128205128207</v>
      </c>
      <c r="F6" s="1">
        <f t="shared" si="0"/>
        <v>1.2820512820512821E-3</v>
      </c>
      <c r="G6">
        <v>4.0000000000000002E-4</v>
      </c>
      <c r="H6">
        <v>8.9999999999999998E-4</v>
      </c>
      <c r="I6">
        <v>6.9999999999999999E-4</v>
      </c>
      <c r="M6">
        <v>0.58479999999999999</v>
      </c>
      <c r="N6">
        <v>2.9100000000000001E-2</v>
      </c>
    </row>
    <row r="7" spans="2:20" x14ac:dyDescent="0.2">
      <c r="B7">
        <v>1</v>
      </c>
      <c r="C7">
        <v>426</v>
      </c>
      <c r="D7">
        <v>780</v>
      </c>
      <c r="E7" s="1">
        <f t="shared" si="1"/>
        <v>0.5461538461538461</v>
      </c>
      <c r="F7" s="1">
        <f t="shared" si="0"/>
        <v>1.2820512820512821E-3</v>
      </c>
      <c r="G7">
        <v>6.9999999999999999E-4</v>
      </c>
      <c r="H7">
        <v>1.5E-3</v>
      </c>
      <c r="I7">
        <v>1.1999999999999999E-3</v>
      </c>
      <c r="M7">
        <v>0.76870000000000005</v>
      </c>
      <c r="N7">
        <v>7.4099999999999999E-2</v>
      </c>
    </row>
    <row r="8" spans="2:20" x14ac:dyDescent="0.2">
      <c r="B8">
        <v>1</v>
      </c>
      <c r="C8">
        <v>524</v>
      </c>
      <c r="D8">
        <v>780</v>
      </c>
      <c r="E8" s="1">
        <f t="shared" si="1"/>
        <v>0.67179487179487174</v>
      </c>
      <c r="F8" s="1">
        <f t="shared" si="0"/>
        <v>1.2820512820512821E-3</v>
      </c>
      <c r="G8">
        <v>1.2999999999999999E-3</v>
      </c>
      <c r="H8">
        <v>2.5999999999999999E-3</v>
      </c>
      <c r="I8">
        <v>2E-3</v>
      </c>
      <c r="M8">
        <v>0.90439999999999998</v>
      </c>
      <c r="N8">
        <v>9.0399999999999994E-2</v>
      </c>
    </row>
    <row r="9" spans="2:20" x14ac:dyDescent="0.2">
      <c r="B9">
        <v>1</v>
      </c>
      <c r="C9">
        <v>613</v>
      </c>
      <c r="D9">
        <v>780</v>
      </c>
      <c r="E9" s="1">
        <f t="shared" si="1"/>
        <v>0.78589743589743588</v>
      </c>
      <c r="F9" s="1">
        <f t="shared" si="0"/>
        <v>1.2820512820512821E-3</v>
      </c>
      <c r="G9">
        <v>2.3999999999999998E-3</v>
      </c>
      <c r="H9">
        <v>4.7000000000000002E-3</v>
      </c>
      <c r="I9">
        <v>3.5000000000000001E-3</v>
      </c>
      <c r="M9">
        <v>1.0900000000000001</v>
      </c>
      <c r="N9">
        <v>0.19819999999999999</v>
      </c>
    </row>
    <row r="10" spans="2:20" x14ac:dyDescent="0.2">
      <c r="B10">
        <v>1</v>
      </c>
      <c r="C10">
        <v>725</v>
      </c>
      <c r="D10">
        <v>780</v>
      </c>
      <c r="E10" s="1">
        <f t="shared" si="1"/>
        <v>0.92948717948717952</v>
      </c>
      <c r="F10" s="1">
        <f t="shared" si="0"/>
        <v>1.2820512820512821E-3</v>
      </c>
      <c r="G10">
        <v>8.3999999999999995E-3</v>
      </c>
      <c r="H10">
        <v>1.6899999999999998E-2</v>
      </c>
      <c r="I10">
        <v>1.2699999999999999E-2</v>
      </c>
      <c r="M10">
        <v>1.2346999999999999</v>
      </c>
      <c r="N10">
        <v>0.2908</v>
      </c>
    </row>
    <row r="11" spans="2:20" x14ac:dyDescent="0.2">
      <c r="B11">
        <v>1</v>
      </c>
      <c r="C11">
        <v>770</v>
      </c>
      <c r="D11">
        <v>780</v>
      </c>
      <c r="E11" s="1">
        <f t="shared" si="1"/>
        <v>0.98717948717948723</v>
      </c>
      <c r="F11" s="1">
        <f t="shared" si="0"/>
        <v>1.2820512820512821E-3</v>
      </c>
      <c r="G11">
        <v>4.9399999999999999E-2</v>
      </c>
      <c r="H11">
        <v>9.8699999999999996E-2</v>
      </c>
      <c r="I11">
        <v>7.3999999999999996E-2</v>
      </c>
      <c r="M11">
        <v>1.1473</v>
      </c>
      <c r="N11">
        <v>0.21990000000000001</v>
      </c>
    </row>
    <row r="12" spans="2:20" x14ac:dyDescent="0.2">
      <c r="B12">
        <v>2</v>
      </c>
      <c r="C12">
        <v>426</v>
      </c>
      <c r="D12">
        <v>780</v>
      </c>
      <c r="E12" s="1">
        <f t="shared" si="1"/>
        <v>0.27307692307692305</v>
      </c>
      <c r="F12" s="1">
        <f t="shared" si="0"/>
        <v>1.2820512820512821E-3</v>
      </c>
      <c r="G12">
        <v>0</v>
      </c>
      <c r="H12">
        <v>2.0000000000000001E-4</v>
      </c>
      <c r="I12">
        <v>1E-4</v>
      </c>
      <c r="M12">
        <v>0.2407</v>
      </c>
      <c r="N12">
        <v>1.7299999999999999E-2</v>
      </c>
    </row>
    <row r="13" spans="2:20" x14ac:dyDescent="0.2">
      <c r="B13">
        <v>2</v>
      </c>
      <c r="C13">
        <v>613</v>
      </c>
      <c r="D13">
        <v>780</v>
      </c>
      <c r="E13" s="1">
        <f t="shared" si="1"/>
        <v>0.39294871794871794</v>
      </c>
      <c r="F13" s="1">
        <f t="shared" si="0"/>
        <v>1.2820512820512821E-3</v>
      </c>
      <c r="G13">
        <v>1E-4</v>
      </c>
      <c r="H13">
        <v>4.0000000000000002E-4</v>
      </c>
      <c r="I13">
        <v>2.9999999999999997E-4</v>
      </c>
      <c r="M13">
        <v>0.33329999999999999</v>
      </c>
      <c r="N13">
        <v>5.7299999999999997E-2</v>
      </c>
    </row>
    <row r="14" spans="2:20" x14ac:dyDescent="0.2">
      <c r="B14">
        <v>2</v>
      </c>
      <c r="C14">
        <v>852</v>
      </c>
      <c r="D14">
        <v>780</v>
      </c>
      <c r="E14" s="1">
        <f t="shared" si="1"/>
        <v>0.5461538461538461</v>
      </c>
      <c r="F14" s="1">
        <f t="shared" si="0"/>
        <v>1.2820512820512821E-3</v>
      </c>
      <c r="G14">
        <v>2.9999999999999997E-4</v>
      </c>
      <c r="H14">
        <v>6.9999999999999999E-4</v>
      </c>
      <c r="I14">
        <v>5.0000000000000001E-4</v>
      </c>
      <c r="M14">
        <v>0.47699999999999998</v>
      </c>
      <c r="N14">
        <v>9.2799999999999994E-2</v>
      </c>
    </row>
    <row r="15" spans="2:20" x14ac:dyDescent="0.2">
      <c r="B15">
        <v>2</v>
      </c>
      <c r="C15">
        <v>1095</v>
      </c>
      <c r="D15">
        <v>780</v>
      </c>
      <c r="E15" s="1">
        <f t="shared" si="1"/>
        <v>0.70192307692307687</v>
      </c>
      <c r="F15" s="1">
        <f t="shared" si="0"/>
        <v>1.2820512820512821E-3</v>
      </c>
      <c r="G15">
        <v>5.9999999999999995E-4</v>
      </c>
      <c r="H15">
        <v>1.5E-3</v>
      </c>
      <c r="I15">
        <v>1.1000000000000001E-3</v>
      </c>
      <c r="M15">
        <v>0.73550000000000004</v>
      </c>
      <c r="N15">
        <v>0.16120000000000001</v>
      </c>
    </row>
    <row r="16" spans="2:20" x14ac:dyDescent="0.2">
      <c r="B16">
        <v>2</v>
      </c>
      <c r="C16">
        <v>1278</v>
      </c>
      <c r="D16">
        <v>780</v>
      </c>
      <c r="E16" s="1">
        <f t="shared" si="1"/>
        <v>0.81923076923076921</v>
      </c>
      <c r="F16" s="1">
        <f t="shared" si="0"/>
        <v>1.2820512820512821E-3</v>
      </c>
      <c r="G16">
        <v>1.2999999999999999E-3</v>
      </c>
      <c r="H16">
        <v>2.8999999999999998E-3</v>
      </c>
      <c r="I16">
        <v>2.2000000000000001E-3</v>
      </c>
      <c r="M16">
        <v>0.75649999999999995</v>
      </c>
      <c r="N16">
        <v>0.22159999999999999</v>
      </c>
    </row>
    <row r="17" spans="2:14" x14ac:dyDescent="0.2">
      <c r="B17">
        <v>2</v>
      </c>
      <c r="C17">
        <v>1338</v>
      </c>
      <c r="D17">
        <v>780</v>
      </c>
      <c r="E17" s="1">
        <f t="shared" si="1"/>
        <v>0.85769230769230764</v>
      </c>
      <c r="F17" s="1">
        <f t="shared" si="0"/>
        <v>1.2820512820512821E-3</v>
      </c>
      <c r="G17">
        <v>1.8E-3</v>
      </c>
      <c r="H17">
        <v>3.8999999999999998E-3</v>
      </c>
      <c r="I17">
        <v>2.8999999999999998E-3</v>
      </c>
      <c r="M17">
        <v>0.78480000000000005</v>
      </c>
      <c r="N17">
        <v>0.2273</v>
      </c>
    </row>
    <row r="18" spans="2:14" x14ac:dyDescent="0.2">
      <c r="B18">
        <v>2</v>
      </c>
      <c r="C18">
        <v>1446</v>
      </c>
      <c r="D18">
        <v>780</v>
      </c>
      <c r="E18" s="1">
        <f t="shared" si="1"/>
        <v>0.92692307692307696</v>
      </c>
      <c r="F18" s="1">
        <f t="shared" si="0"/>
        <v>1.2820512820512821E-3</v>
      </c>
      <c r="G18">
        <v>3.8999999999999998E-3</v>
      </c>
      <c r="H18">
        <v>8.0999999999999996E-3</v>
      </c>
      <c r="I18">
        <v>6.1000000000000004E-3</v>
      </c>
      <c r="M18">
        <v>0.86399999999999999</v>
      </c>
      <c r="N18">
        <v>0.24060000000000001</v>
      </c>
    </row>
    <row r="19" spans="2:14" x14ac:dyDescent="0.2">
      <c r="B19">
        <v>2</v>
      </c>
      <c r="C19">
        <v>1478</v>
      </c>
      <c r="D19">
        <v>780</v>
      </c>
      <c r="E19" s="1">
        <f t="shared" si="1"/>
        <v>0.9474358974358974</v>
      </c>
      <c r="F19" s="1">
        <f t="shared" si="0"/>
        <v>1.2820512820512821E-3</v>
      </c>
      <c r="G19">
        <v>5.5999999999999999E-3</v>
      </c>
      <c r="H19">
        <v>1.1599999999999999E-2</v>
      </c>
      <c r="I19">
        <v>8.6999999999999994E-3</v>
      </c>
      <c r="M19">
        <v>0.95089999999999997</v>
      </c>
      <c r="N19">
        <v>0.11219999999999999</v>
      </c>
    </row>
    <row r="20" spans="2:14" x14ac:dyDescent="0.2">
      <c r="B20">
        <v>4</v>
      </c>
      <c r="C20">
        <v>426</v>
      </c>
      <c r="D20">
        <v>780</v>
      </c>
      <c r="E20" s="1">
        <f t="shared" si="1"/>
        <v>0.13653846153846153</v>
      </c>
      <c r="F20" s="1">
        <f t="shared" si="0"/>
        <v>1.2820512820512821E-3</v>
      </c>
      <c r="G20">
        <v>0</v>
      </c>
      <c r="H20">
        <v>0</v>
      </c>
      <c r="I20">
        <v>0</v>
      </c>
      <c r="M20">
        <v>0.1787</v>
      </c>
      <c r="N20">
        <v>1.43E-2</v>
      </c>
    </row>
    <row r="21" spans="2:14" x14ac:dyDescent="0.2">
      <c r="B21">
        <v>4</v>
      </c>
      <c r="C21">
        <v>613</v>
      </c>
      <c r="D21">
        <v>780</v>
      </c>
      <c r="E21" s="1">
        <f t="shared" si="1"/>
        <v>0.19647435897435897</v>
      </c>
      <c r="F21" s="1">
        <f t="shared" si="0"/>
        <v>1.2820512820512821E-3</v>
      </c>
      <c r="G21">
        <v>0</v>
      </c>
      <c r="H21">
        <v>0</v>
      </c>
      <c r="I21">
        <v>0</v>
      </c>
      <c r="M21">
        <v>0.2175</v>
      </c>
      <c r="N21">
        <v>2.7699999999999999E-2</v>
      </c>
    </row>
    <row r="22" spans="2:14" x14ac:dyDescent="0.2">
      <c r="B22">
        <v>4</v>
      </c>
      <c r="C22">
        <v>852</v>
      </c>
      <c r="D22">
        <v>780</v>
      </c>
      <c r="E22" s="1">
        <f t="shared" si="1"/>
        <v>0.27307692307692305</v>
      </c>
      <c r="F22" s="1">
        <f t="shared" si="0"/>
        <v>1.2820512820512821E-3</v>
      </c>
      <c r="G22">
        <v>0</v>
      </c>
      <c r="H22">
        <v>1E-4</v>
      </c>
      <c r="I22">
        <v>0</v>
      </c>
      <c r="M22">
        <v>0.31869999999999998</v>
      </c>
      <c r="N22">
        <v>3.2300000000000002E-2</v>
      </c>
    </row>
    <row r="23" spans="2:14" x14ac:dyDescent="0.2">
      <c r="B23">
        <v>4</v>
      </c>
      <c r="C23">
        <v>1095</v>
      </c>
      <c r="D23">
        <v>780</v>
      </c>
      <c r="E23" s="1">
        <f t="shared" si="1"/>
        <v>0.35096153846153844</v>
      </c>
      <c r="F23" s="1">
        <f t="shared" si="0"/>
        <v>1.2820512820512821E-3</v>
      </c>
      <c r="G23">
        <v>0</v>
      </c>
      <c r="H23">
        <v>1E-4</v>
      </c>
      <c r="I23">
        <v>1E-4</v>
      </c>
      <c r="M23">
        <v>0.34060000000000001</v>
      </c>
      <c r="N23">
        <v>6.3200000000000006E-2</v>
      </c>
    </row>
    <row r="24" spans="2:14" x14ac:dyDescent="0.2">
      <c r="B24">
        <v>4</v>
      </c>
      <c r="C24">
        <v>1278</v>
      </c>
      <c r="D24">
        <v>780</v>
      </c>
      <c r="E24" s="1">
        <f t="shared" si="1"/>
        <v>0.4096153846153846</v>
      </c>
      <c r="F24" s="1">
        <f t="shared" si="0"/>
        <v>1.2820512820512821E-3</v>
      </c>
      <c r="G24">
        <v>0</v>
      </c>
      <c r="H24">
        <v>2.0000000000000001E-4</v>
      </c>
      <c r="I24">
        <v>1E-4</v>
      </c>
      <c r="M24">
        <v>0.38669999999999999</v>
      </c>
      <c r="N24">
        <v>7.4800000000000005E-2</v>
      </c>
    </row>
    <row r="25" spans="2:14" x14ac:dyDescent="0.2">
      <c r="B25">
        <v>4</v>
      </c>
      <c r="C25">
        <v>1338</v>
      </c>
      <c r="D25">
        <v>780</v>
      </c>
      <c r="E25" s="1">
        <f t="shared" si="1"/>
        <v>0.42884615384615382</v>
      </c>
      <c r="F25" s="1">
        <f t="shared" si="0"/>
        <v>1.2820512820512821E-3</v>
      </c>
      <c r="G25">
        <v>0</v>
      </c>
      <c r="H25">
        <v>2.0000000000000001E-4</v>
      </c>
      <c r="I25">
        <v>1E-4</v>
      </c>
      <c r="M25">
        <v>0.43859999999999999</v>
      </c>
      <c r="N25">
        <v>0.1653</v>
      </c>
    </row>
    <row r="26" spans="2:14" x14ac:dyDescent="0.2">
      <c r="B26">
        <v>4</v>
      </c>
      <c r="C26">
        <v>1446</v>
      </c>
      <c r="D26">
        <v>780</v>
      </c>
      <c r="E26" s="1">
        <f t="shared" si="1"/>
        <v>0.46346153846153848</v>
      </c>
      <c r="F26" s="1">
        <f t="shared" si="0"/>
        <v>1.2820512820512821E-3</v>
      </c>
      <c r="G26">
        <v>0</v>
      </c>
      <c r="H26">
        <v>2.0000000000000001E-4</v>
      </c>
      <c r="I26">
        <v>2.0000000000000001E-4</v>
      </c>
      <c r="M26">
        <v>0.41489999999999999</v>
      </c>
      <c r="N26">
        <v>0.17780000000000001</v>
      </c>
    </row>
    <row r="27" spans="2:14" x14ac:dyDescent="0.2">
      <c r="B27">
        <v>4</v>
      </c>
      <c r="C27">
        <v>1478</v>
      </c>
      <c r="D27">
        <v>780</v>
      </c>
      <c r="E27" s="1">
        <f t="shared" si="1"/>
        <v>0.4737179487179487</v>
      </c>
      <c r="F27" s="1">
        <f t="shared" si="0"/>
        <v>1.2820512820512821E-3</v>
      </c>
      <c r="G27">
        <v>0</v>
      </c>
      <c r="H27">
        <v>2.0000000000000001E-4</v>
      </c>
      <c r="I27">
        <v>2.0000000000000001E-4</v>
      </c>
      <c r="M27">
        <v>0.53220000000000001</v>
      </c>
      <c r="N27">
        <v>0.29859999999999998</v>
      </c>
    </row>
    <row r="31" spans="2:14" x14ac:dyDescent="0.2">
      <c r="C31" t="s">
        <v>4</v>
      </c>
    </row>
    <row r="32" spans="2:14" x14ac:dyDescent="0.2">
      <c r="C32" t="s">
        <v>0</v>
      </c>
    </row>
    <row r="34" spans="2:3" x14ac:dyDescent="0.2">
      <c r="B34">
        <v>1</v>
      </c>
      <c r="C34">
        <v>214</v>
      </c>
    </row>
    <row r="35" spans="2:3" x14ac:dyDescent="0.2">
      <c r="B35">
        <v>1</v>
      </c>
      <c r="C35">
        <v>244</v>
      </c>
    </row>
    <row r="36" spans="2:3" x14ac:dyDescent="0.2">
      <c r="B36">
        <v>1</v>
      </c>
      <c r="C36">
        <v>312</v>
      </c>
    </row>
    <row r="37" spans="2:3" x14ac:dyDescent="0.2">
      <c r="B37">
        <v>1</v>
      </c>
      <c r="C37">
        <v>352</v>
      </c>
    </row>
    <row r="38" spans="2:3" x14ac:dyDescent="0.2">
      <c r="B38">
        <v>1</v>
      </c>
      <c r="C38">
        <v>423</v>
      </c>
    </row>
    <row r="39" spans="2:3" x14ac:dyDescent="0.2">
      <c r="B39">
        <v>1</v>
      </c>
      <c r="C39">
        <v>460</v>
      </c>
    </row>
    <row r="40" spans="2:3" x14ac:dyDescent="0.2">
      <c r="B40">
        <v>2</v>
      </c>
    </row>
  </sheetData>
  <mergeCells count="5">
    <mergeCell ref="B1:T1"/>
    <mergeCell ref="B2:B3"/>
    <mergeCell ref="C2:I2"/>
    <mergeCell ref="J2:N2"/>
    <mergeCell ref="O2:T2"/>
  </mergeCells>
  <phoneticPr fontId="1" type="noConversion"/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DSMT4" shapeId="1026" r:id="rId4">
          <objectPr defaultSize="0" r:id="rId5">
            <anchor moveWithCells="1">
              <from>
                <xdr:col>1</xdr:col>
                <xdr:colOff>285750</xdr:colOff>
                <xdr:row>1</xdr:row>
                <xdr:rowOff>123825</xdr:rowOff>
              </from>
              <to>
                <xdr:col>1</xdr:col>
                <xdr:colOff>381000</xdr:colOff>
                <xdr:row>2</xdr:row>
                <xdr:rowOff>57150</xdr:rowOff>
              </to>
            </anchor>
          </objectPr>
        </oleObject>
      </mc:Choice>
      <mc:Fallback>
        <oleObject progId="Equation.DSMT4" shapeId="1026" r:id="rId4"/>
      </mc:Fallback>
    </mc:AlternateContent>
    <mc:AlternateContent xmlns:mc="http://schemas.openxmlformats.org/markup-compatibility/2006">
      <mc:Choice Requires="x14">
        <oleObject progId="Equation.DSMT4" shapeId="1027" r:id="rId6">
          <objectPr defaultSize="0" r:id="rId7">
            <anchor moveWithCells="1">
              <from>
                <xdr:col>2</xdr:col>
                <xdr:colOff>571500</xdr:colOff>
                <xdr:row>2</xdr:row>
                <xdr:rowOff>19050</xdr:rowOff>
              </from>
              <to>
                <xdr:col>2</xdr:col>
                <xdr:colOff>733425</xdr:colOff>
                <xdr:row>2</xdr:row>
                <xdr:rowOff>190500</xdr:rowOff>
              </to>
            </anchor>
          </objectPr>
        </oleObject>
      </mc:Choice>
      <mc:Fallback>
        <oleObject progId="Equation.DSMT4" shapeId="1027" r:id="rId6"/>
      </mc:Fallback>
    </mc:AlternateContent>
    <mc:AlternateContent xmlns:mc="http://schemas.openxmlformats.org/markup-compatibility/2006">
      <mc:Choice Requires="x14">
        <oleObject progId="Equation.DSMT4" shapeId="1028" r:id="rId8">
          <objectPr defaultSize="0" r:id="rId9">
            <anchor moveWithCells="1">
              <from>
                <xdr:col>3</xdr:col>
                <xdr:colOff>266700</xdr:colOff>
                <xdr:row>2</xdr:row>
                <xdr:rowOff>0</xdr:rowOff>
              </from>
              <to>
                <xdr:col>3</xdr:col>
                <xdr:colOff>428625</xdr:colOff>
                <xdr:row>2</xdr:row>
                <xdr:rowOff>190500</xdr:rowOff>
              </to>
            </anchor>
          </objectPr>
        </oleObject>
      </mc:Choice>
      <mc:Fallback>
        <oleObject progId="Equation.DSMT4" shapeId="1028" r:id="rId8"/>
      </mc:Fallback>
    </mc:AlternateContent>
    <mc:AlternateContent xmlns:mc="http://schemas.openxmlformats.org/markup-compatibility/2006">
      <mc:Choice Requires="x14">
        <oleObject progId="Equation.DSMT4" shapeId="1029" r:id="rId10">
          <objectPr defaultSize="0" r:id="rId11">
            <anchor moveWithCells="1">
              <from>
                <xdr:col>4</xdr:col>
                <xdr:colOff>276225</xdr:colOff>
                <xdr:row>2</xdr:row>
                <xdr:rowOff>9525</xdr:rowOff>
              </from>
              <to>
                <xdr:col>4</xdr:col>
                <xdr:colOff>438150</xdr:colOff>
                <xdr:row>2</xdr:row>
                <xdr:rowOff>200025</xdr:rowOff>
              </to>
            </anchor>
          </objectPr>
        </oleObject>
      </mc:Choice>
      <mc:Fallback>
        <oleObject progId="Equation.DSMT4" shapeId="1029" r:id="rId10"/>
      </mc:Fallback>
    </mc:AlternateContent>
    <mc:AlternateContent xmlns:mc="http://schemas.openxmlformats.org/markup-compatibility/2006">
      <mc:Choice Requires="x14">
        <oleObject progId="Equation.DSMT4" shapeId="1030" r:id="rId12">
          <objectPr defaultSize="0" r:id="rId13">
            <anchor moveWithCells="1">
              <from>
                <xdr:col>5</xdr:col>
                <xdr:colOff>257175</xdr:colOff>
                <xdr:row>2</xdr:row>
                <xdr:rowOff>0</xdr:rowOff>
              </from>
              <to>
                <xdr:col>5</xdr:col>
                <xdr:colOff>447675</xdr:colOff>
                <xdr:row>2</xdr:row>
                <xdr:rowOff>238125</xdr:rowOff>
              </to>
            </anchor>
          </objectPr>
        </oleObject>
      </mc:Choice>
      <mc:Fallback>
        <oleObject progId="Equation.DSMT4" shapeId="1030" r:id="rId12"/>
      </mc:Fallback>
    </mc:AlternateContent>
    <mc:AlternateContent xmlns:mc="http://schemas.openxmlformats.org/markup-compatibility/2006">
      <mc:Choice Requires="x14">
        <oleObject progId="Equation.DSMT4" shapeId="1031" r:id="rId14">
          <objectPr defaultSize="0" autoPict="0" r:id="rId15">
            <anchor moveWithCells="1">
              <from>
                <xdr:col>9</xdr:col>
                <xdr:colOff>152400</xdr:colOff>
                <xdr:row>2</xdr:row>
                <xdr:rowOff>0</xdr:rowOff>
              </from>
              <to>
                <xdr:col>9</xdr:col>
                <xdr:colOff>847725</xdr:colOff>
                <xdr:row>2</xdr:row>
                <xdr:rowOff>238125</xdr:rowOff>
              </to>
            </anchor>
          </objectPr>
        </oleObject>
      </mc:Choice>
      <mc:Fallback>
        <oleObject progId="Equation.DSMT4" shapeId="1031" r:id="rId14"/>
      </mc:Fallback>
    </mc:AlternateContent>
    <mc:AlternateContent xmlns:mc="http://schemas.openxmlformats.org/markup-compatibility/2006">
      <mc:Choice Requires="x14">
        <oleObject progId="Equation.DSMT4" shapeId="1032" r:id="rId16">
          <objectPr defaultSize="0" r:id="rId17">
            <anchor moveWithCells="1">
              <from>
                <xdr:col>12</xdr:col>
                <xdr:colOff>276225</xdr:colOff>
                <xdr:row>2</xdr:row>
                <xdr:rowOff>0</xdr:rowOff>
              </from>
              <to>
                <xdr:col>12</xdr:col>
                <xdr:colOff>438150</xdr:colOff>
                <xdr:row>2</xdr:row>
                <xdr:rowOff>161925</xdr:rowOff>
              </to>
            </anchor>
          </objectPr>
        </oleObject>
      </mc:Choice>
      <mc:Fallback>
        <oleObject progId="Equation.DSMT4" shapeId="1032" r:id="rId16"/>
      </mc:Fallback>
    </mc:AlternateContent>
    <mc:AlternateContent xmlns:mc="http://schemas.openxmlformats.org/markup-compatibility/2006">
      <mc:Choice Requires="x14">
        <oleObject progId="Equation.DSMT4" shapeId="1081" r:id="rId18">
          <objectPr defaultSize="0" autoPict="0" r:id="rId19">
            <anchor moveWithCells="1">
              <from>
                <xdr:col>6</xdr:col>
                <xdr:colOff>180975</xdr:colOff>
                <xdr:row>2</xdr:row>
                <xdr:rowOff>0</xdr:rowOff>
              </from>
              <to>
                <xdr:col>6</xdr:col>
                <xdr:colOff>742950</xdr:colOff>
                <xdr:row>2</xdr:row>
                <xdr:rowOff>257175</xdr:rowOff>
              </to>
            </anchor>
          </objectPr>
        </oleObject>
      </mc:Choice>
      <mc:Fallback>
        <oleObject progId="Equation.DSMT4" shapeId="1081" r:id="rId18"/>
      </mc:Fallback>
    </mc:AlternateContent>
    <mc:AlternateContent xmlns:mc="http://schemas.openxmlformats.org/markup-compatibility/2006">
      <mc:Choice Requires="x14">
        <oleObject progId="Equation.DSMT4" shapeId="1082" r:id="rId20">
          <objectPr defaultSize="0" r:id="rId21">
            <anchor moveWithCells="1">
              <from>
                <xdr:col>7</xdr:col>
                <xdr:colOff>257175</xdr:colOff>
                <xdr:row>2</xdr:row>
                <xdr:rowOff>0</xdr:rowOff>
              </from>
              <to>
                <xdr:col>7</xdr:col>
                <xdr:colOff>838200</xdr:colOff>
                <xdr:row>2</xdr:row>
                <xdr:rowOff>257175</xdr:rowOff>
              </to>
            </anchor>
          </objectPr>
        </oleObject>
      </mc:Choice>
      <mc:Fallback>
        <oleObject progId="Equation.DSMT4" shapeId="1082" r:id="rId20"/>
      </mc:Fallback>
    </mc:AlternateContent>
    <mc:AlternateContent xmlns:mc="http://schemas.openxmlformats.org/markup-compatibility/2006">
      <mc:Choice Requires="x14">
        <oleObject progId="Equation.DSMT4" shapeId="1083" r:id="rId22">
          <objectPr defaultSize="0" r:id="rId23">
            <anchor moveWithCells="1">
              <from>
                <xdr:col>8</xdr:col>
                <xdr:colOff>257175</xdr:colOff>
                <xdr:row>2</xdr:row>
                <xdr:rowOff>0</xdr:rowOff>
              </from>
              <to>
                <xdr:col>8</xdr:col>
                <xdr:colOff>876300</xdr:colOff>
                <xdr:row>2</xdr:row>
                <xdr:rowOff>257175</xdr:rowOff>
              </to>
            </anchor>
          </objectPr>
        </oleObject>
      </mc:Choice>
      <mc:Fallback>
        <oleObject progId="Equation.DSMT4" shapeId="1083" r:id="rId22"/>
      </mc:Fallback>
    </mc:AlternateContent>
    <mc:AlternateContent xmlns:mc="http://schemas.openxmlformats.org/markup-compatibility/2006">
      <mc:Choice Requires="x14">
        <oleObject progId="Equation.DSMT4" shapeId="1084" r:id="rId24">
          <objectPr defaultSize="0" r:id="rId25">
            <anchor moveWithCells="1">
              <from>
                <xdr:col>13</xdr:col>
                <xdr:colOff>295275</xdr:colOff>
                <xdr:row>2</xdr:row>
                <xdr:rowOff>38100</xdr:rowOff>
              </from>
              <to>
                <xdr:col>13</xdr:col>
                <xdr:colOff>409575</xdr:colOff>
                <xdr:row>2</xdr:row>
                <xdr:rowOff>171450</xdr:rowOff>
              </to>
            </anchor>
          </objectPr>
        </oleObject>
      </mc:Choice>
      <mc:Fallback>
        <oleObject progId="Equation.DSMT4" shapeId="1084" r:id="rId24"/>
      </mc:Fallback>
    </mc:AlternateContent>
    <mc:AlternateContent xmlns:mc="http://schemas.openxmlformats.org/markup-compatibility/2006">
      <mc:Choice Requires="x14">
        <oleObject progId="Equation.DSMT4" shapeId="1085" r:id="rId26">
          <objectPr defaultSize="0" r:id="rId27">
            <anchor moveWithCells="1">
              <from>
                <xdr:col>18</xdr:col>
                <xdr:colOff>66675</xdr:colOff>
                <xdr:row>2</xdr:row>
                <xdr:rowOff>0</xdr:rowOff>
              </from>
              <to>
                <xdr:col>18</xdr:col>
                <xdr:colOff>647700</xdr:colOff>
                <xdr:row>2</xdr:row>
                <xdr:rowOff>228600</xdr:rowOff>
              </to>
            </anchor>
          </objectPr>
        </oleObject>
      </mc:Choice>
      <mc:Fallback>
        <oleObject progId="Equation.DSMT4" shapeId="1085" r:id="rId26"/>
      </mc:Fallback>
    </mc:AlternateContent>
    <mc:AlternateContent xmlns:mc="http://schemas.openxmlformats.org/markup-compatibility/2006">
      <mc:Choice Requires="x14">
        <oleObject progId="Equation.DSMT4" shapeId="1086" r:id="rId28">
          <objectPr defaultSize="0" r:id="rId29">
            <anchor moveWithCells="1">
              <from>
                <xdr:col>19</xdr:col>
                <xdr:colOff>57150</xdr:colOff>
                <xdr:row>2</xdr:row>
                <xdr:rowOff>0</xdr:rowOff>
              </from>
              <to>
                <xdr:col>19</xdr:col>
                <xdr:colOff>676275</xdr:colOff>
                <xdr:row>2</xdr:row>
                <xdr:rowOff>228600</xdr:rowOff>
              </to>
            </anchor>
          </objectPr>
        </oleObject>
      </mc:Choice>
      <mc:Fallback>
        <oleObject progId="Equation.DSMT4" shapeId="1086" r:id="rId28"/>
      </mc:Fallback>
    </mc:AlternateContent>
    <mc:AlternateContent xmlns:mc="http://schemas.openxmlformats.org/markup-compatibility/2006">
      <mc:Choice Requires="x14">
        <oleObject progId="Equation.DSMT4" shapeId="1087" r:id="rId30">
          <objectPr defaultSize="0" autoPict="0" r:id="rId31">
            <anchor moveWithCells="1">
              <from>
                <xdr:col>14</xdr:col>
                <xdr:colOff>114300</xdr:colOff>
                <xdr:row>2</xdr:row>
                <xdr:rowOff>0</xdr:rowOff>
              </from>
              <to>
                <xdr:col>14</xdr:col>
                <xdr:colOff>762000</xdr:colOff>
                <xdr:row>2</xdr:row>
                <xdr:rowOff>180975</xdr:rowOff>
              </to>
            </anchor>
          </objectPr>
        </oleObject>
      </mc:Choice>
      <mc:Fallback>
        <oleObject progId="Equation.DSMT4" shapeId="1087" r:id="rId30"/>
      </mc:Fallback>
    </mc:AlternateContent>
    <mc:AlternateContent xmlns:mc="http://schemas.openxmlformats.org/markup-compatibility/2006">
      <mc:Choice Requires="x14">
        <oleObject progId="Equation.DSMT4" shapeId="1088" r:id="rId32">
          <objectPr defaultSize="0" r:id="rId33">
            <anchor moveWithCells="1">
              <from>
                <xdr:col>17</xdr:col>
                <xdr:colOff>85725</xdr:colOff>
                <xdr:row>2</xdr:row>
                <xdr:rowOff>0</xdr:rowOff>
              </from>
              <to>
                <xdr:col>17</xdr:col>
                <xdr:colOff>647700</xdr:colOff>
                <xdr:row>2</xdr:row>
                <xdr:rowOff>200025</xdr:rowOff>
              </to>
            </anchor>
          </objectPr>
        </oleObject>
      </mc:Choice>
      <mc:Fallback>
        <oleObject progId="Equation.DSMT4" shapeId="1088" r:id="rId32"/>
      </mc:Fallback>
    </mc:AlternateContent>
    <mc:AlternateContent xmlns:mc="http://schemas.openxmlformats.org/markup-compatibility/2006">
      <mc:Choice Requires="x14">
        <oleObject progId="Equation.DSMT4" shapeId="1090" r:id="rId34">
          <objectPr defaultSize="0" autoPict="0" r:id="rId35">
            <anchor moveWithCells="1">
              <from>
                <xdr:col>10</xdr:col>
                <xdr:colOff>123825</xdr:colOff>
                <xdr:row>2</xdr:row>
                <xdr:rowOff>0</xdr:rowOff>
              </from>
              <to>
                <xdr:col>10</xdr:col>
                <xdr:colOff>847725</xdr:colOff>
                <xdr:row>2</xdr:row>
                <xdr:rowOff>238125</xdr:rowOff>
              </to>
            </anchor>
          </objectPr>
        </oleObject>
      </mc:Choice>
      <mc:Fallback>
        <oleObject progId="Equation.DSMT4" shapeId="1090" r:id="rId34"/>
      </mc:Fallback>
    </mc:AlternateContent>
    <mc:AlternateContent xmlns:mc="http://schemas.openxmlformats.org/markup-compatibility/2006">
      <mc:Choice Requires="x14">
        <oleObject progId="Equation.DSMT4" shapeId="1091" r:id="rId36">
          <objectPr defaultSize="0" r:id="rId37">
            <anchor moveWithCells="1">
              <from>
                <xdr:col>11</xdr:col>
                <xdr:colOff>104775</xdr:colOff>
                <xdr:row>2</xdr:row>
                <xdr:rowOff>0</xdr:rowOff>
              </from>
              <to>
                <xdr:col>11</xdr:col>
                <xdr:colOff>866775</xdr:colOff>
                <xdr:row>2</xdr:row>
                <xdr:rowOff>238125</xdr:rowOff>
              </to>
            </anchor>
          </objectPr>
        </oleObject>
      </mc:Choice>
      <mc:Fallback>
        <oleObject progId="Equation.DSMT4" shapeId="1091" r:id="rId36"/>
      </mc:Fallback>
    </mc:AlternateContent>
    <mc:AlternateContent xmlns:mc="http://schemas.openxmlformats.org/markup-compatibility/2006">
      <mc:Choice Requires="x14">
        <oleObject progId="Equation.DSMT4" shapeId="1092" r:id="rId38">
          <objectPr defaultSize="0" r:id="rId39">
            <anchor moveWithCells="1">
              <from>
                <xdr:col>15</xdr:col>
                <xdr:colOff>95250</xdr:colOff>
                <xdr:row>2</xdr:row>
                <xdr:rowOff>0</xdr:rowOff>
              </from>
              <to>
                <xdr:col>15</xdr:col>
                <xdr:colOff>781050</xdr:colOff>
                <xdr:row>2</xdr:row>
                <xdr:rowOff>200025</xdr:rowOff>
              </to>
            </anchor>
          </objectPr>
        </oleObject>
      </mc:Choice>
      <mc:Fallback>
        <oleObject progId="Equation.DSMT4" shapeId="1092" r:id="rId38"/>
      </mc:Fallback>
    </mc:AlternateContent>
    <mc:AlternateContent xmlns:mc="http://schemas.openxmlformats.org/markup-compatibility/2006">
      <mc:Choice Requires="x14">
        <oleObject progId="Equation.DSMT4" shapeId="1093" r:id="rId40">
          <objectPr defaultSize="0" r:id="rId41">
            <anchor moveWithCells="1">
              <from>
                <xdr:col>16</xdr:col>
                <xdr:colOff>76200</xdr:colOff>
                <xdr:row>2</xdr:row>
                <xdr:rowOff>0</xdr:rowOff>
              </from>
              <to>
                <xdr:col>16</xdr:col>
                <xdr:colOff>790575</xdr:colOff>
                <xdr:row>2</xdr:row>
                <xdr:rowOff>200025</xdr:rowOff>
              </to>
            </anchor>
          </objectPr>
        </oleObject>
      </mc:Choice>
      <mc:Fallback>
        <oleObject progId="Equation.DSMT4" shapeId="1093" r:id="rId40"/>
      </mc:Fallback>
    </mc:AlternateContent>
    <mc:AlternateContent xmlns:mc="http://schemas.openxmlformats.org/markup-compatibility/2006">
      <mc:Choice Requires="x14">
        <oleObject progId="Equation.DSMT4" shapeId="1094" r:id="rId42">
          <objectPr defaultSize="0" r:id="rId5">
            <anchor moveWithCells="1">
              <from>
                <xdr:col>1</xdr:col>
                <xdr:colOff>285750</xdr:colOff>
                <xdr:row>31</xdr:row>
                <xdr:rowOff>123825</xdr:rowOff>
              </from>
              <to>
                <xdr:col>1</xdr:col>
                <xdr:colOff>381000</xdr:colOff>
                <xdr:row>32</xdr:row>
                <xdr:rowOff>57150</xdr:rowOff>
              </to>
            </anchor>
          </objectPr>
        </oleObject>
      </mc:Choice>
      <mc:Fallback>
        <oleObject progId="Equation.DSMT4" shapeId="1094" r:id="rId42"/>
      </mc:Fallback>
    </mc:AlternateContent>
    <mc:AlternateContent xmlns:mc="http://schemas.openxmlformats.org/markup-compatibility/2006">
      <mc:Choice Requires="x14">
        <oleObject progId="Equation.DSMT4" shapeId="1095" r:id="rId43">
          <objectPr defaultSize="0" r:id="rId7">
            <anchor moveWithCells="1">
              <from>
                <xdr:col>2</xdr:col>
                <xdr:colOff>571500</xdr:colOff>
                <xdr:row>32</xdr:row>
                <xdr:rowOff>19050</xdr:rowOff>
              </from>
              <to>
                <xdr:col>2</xdr:col>
                <xdr:colOff>733425</xdr:colOff>
                <xdr:row>33</xdr:row>
                <xdr:rowOff>9525</xdr:rowOff>
              </to>
            </anchor>
          </objectPr>
        </oleObject>
      </mc:Choice>
      <mc:Fallback>
        <oleObject progId="Equation.DSMT4" shapeId="1095" r:id="rId4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Canhui WANG</dc:creator>
  <cp:lastModifiedBy>Canhui Wang</cp:lastModifiedBy>
  <dcterms:created xsi:type="dcterms:W3CDTF">2015-06-05T18:19:34Z</dcterms:created>
  <dcterms:modified xsi:type="dcterms:W3CDTF">2025-12-18T10:11:08Z</dcterms:modified>
</cp:coreProperties>
</file>
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embeddings/oleObject16.bin" ContentType="application/vnd.openxmlformats-officedocument.oleObject"/>
  <Override PartName="/xl/embeddings/oleObject17.bin" ContentType="application/vnd.openxmlformats-officedocument.oleObject"/>
  <Override PartName="/xl/embeddings/oleObject18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FabricDistBench\"/>
    </mc:Choice>
  </mc:AlternateContent>
  <xr:revisionPtr revIDLastSave="0" documentId="13_ncr:1_{BAF0F21E-B99F-4F9F-858E-924D7D525C5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" i="1" l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4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6" i="1"/>
  <c r="O7" i="1"/>
  <c r="O5" i="1"/>
  <c r="O4" i="1"/>
</calcChain>
</file>

<file path=xl/sharedStrings.xml><?xml version="1.0" encoding="utf-8"?>
<sst xmlns="http://schemas.openxmlformats.org/spreadsheetml/2006/main" count="8" uniqueCount="8">
  <si>
    <t>\pm</t>
    <phoneticPr fontId="1" type="noConversion"/>
  </si>
  <si>
    <t>$\pm$</t>
    <phoneticPr fontId="1" type="noConversion"/>
  </si>
  <si>
    <t>±</t>
  </si>
  <si>
    <t>1±2</t>
    <phoneticPr fontId="1" type="noConversion"/>
  </si>
  <si>
    <t>Measure derived</t>
    <phoneticPr fontId="1" type="noConversion"/>
  </si>
  <si>
    <t>Model</t>
    <phoneticPr fontId="1" type="noConversion"/>
  </si>
  <si>
    <t>Measure</t>
    <phoneticPr fontId="1" type="noConversion"/>
  </si>
  <si>
    <t>The throughput and latency of an endorsing peer with c=1,2,4 CPU cores in cluster 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</si>
</sst>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.9"/>
      <color rgb="FFEEEEEE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left" vertical="center" indent="1"/>
    </xf>
    <xf numFmtId="176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6" Type="http://schemas.openxmlformats.org/officeDocument/2006/relationships/image" Target="../media/image16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333375</xdr:colOff>
          <xdr:row>7</xdr:row>
          <xdr:rowOff>104775</xdr:rowOff>
        </xdr:from>
        <xdr:to>
          <xdr:col>9</xdr:col>
          <xdr:colOff>171450</xdr:colOff>
          <xdr:row>8</xdr:row>
          <xdr:rowOff>161925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285750</xdr:colOff>
          <xdr:row>1</xdr:row>
          <xdr:rowOff>123825</xdr:rowOff>
        </xdr:from>
        <xdr:to>
          <xdr:col>11</xdr:col>
          <xdr:colOff>381000</xdr:colOff>
          <xdr:row>2</xdr:row>
          <xdr:rowOff>57150</xdr:rowOff>
        </xdr:to>
        <xdr:sp macro="" textlink="">
          <xdr:nvSpPr>
            <xdr:cNvPr id="1026" name="Object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571500</xdr:colOff>
          <xdr:row>2</xdr:row>
          <xdr:rowOff>19050</xdr:rowOff>
        </xdr:from>
        <xdr:to>
          <xdr:col>12</xdr:col>
          <xdr:colOff>733425</xdr:colOff>
          <xdr:row>2</xdr:row>
          <xdr:rowOff>190500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266700</xdr:colOff>
          <xdr:row>2</xdr:row>
          <xdr:rowOff>0</xdr:rowOff>
        </xdr:from>
        <xdr:to>
          <xdr:col>13</xdr:col>
          <xdr:colOff>428625</xdr:colOff>
          <xdr:row>2</xdr:row>
          <xdr:rowOff>190500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276225</xdr:colOff>
          <xdr:row>2</xdr:row>
          <xdr:rowOff>9525</xdr:rowOff>
        </xdr:from>
        <xdr:to>
          <xdr:col>14</xdr:col>
          <xdr:colOff>438150</xdr:colOff>
          <xdr:row>2</xdr:row>
          <xdr:rowOff>200025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257175</xdr:colOff>
          <xdr:row>2</xdr:row>
          <xdr:rowOff>0</xdr:rowOff>
        </xdr:from>
        <xdr:to>
          <xdr:col>15</xdr:col>
          <xdr:colOff>447675</xdr:colOff>
          <xdr:row>2</xdr:row>
          <xdr:rowOff>238125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219075</xdr:colOff>
          <xdr:row>2</xdr:row>
          <xdr:rowOff>0</xdr:rowOff>
        </xdr:from>
        <xdr:to>
          <xdr:col>19</xdr:col>
          <xdr:colOff>495300</xdr:colOff>
          <xdr:row>2</xdr:row>
          <xdr:rowOff>209550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257175</xdr:colOff>
          <xdr:row>2</xdr:row>
          <xdr:rowOff>0</xdr:rowOff>
        </xdr:from>
        <xdr:to>
          <xdr:col>21</xdr:col>
          <xdr:colOff>419100</xdr:colOff>
          <xdr:row>2</xdr:row>
          <xdr:rowOff>161925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9</xdr:row>
          <xdr:rowOff>0</xdr:rowOff>
        </xdr:from>
        <xdr:to>
          <xdr:col>5</xdr:col>
          <xdr:colOff>114300</xdr:colOff>
          <xdr:row>9</xdr:row>
          <xdr:rowOff>133350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180975</xdr:colOff>
          <xdr:row>2</xdr:row>
          <xdr:rowOff>0</xdr:rowOff>
        </xdr:from>
        <xdr:to>
          <xdr:col>16</xdr:col>
          <xdr:colOff>742950</xdr:colOff>
          <xdr:row>2</xdr:row>
          <xdr:rowOff>257175</xdr:rowOff>
        </xdr:to>
        <xdr:sp macro="" textlink="">
          <xdr:nvSpPr>
            <xdr:cNvPr id="1081" name="Object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257175</xdr:colOff>
          <xdr:row>2</xdr:row>
          <xdr:rowOff>0</xdr:rowOff>
        </xdr:from>
        <xdr:to>
          <xdr:col>17</xdr:col>
          <xdr:colOff>838200</xdr:colOff>
          <xdr:row>2</xdr:row>
          <xdr:rowOff>257175</xdr:rowOff>
        </xdr:to>
        <xdr:sp macro="" textlink="">
          <xdr:nvSpPr>
            <xdr:cNvPr id="1082" name="Object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4E2351CA-770E-462C-AF76-F3EF92A5AE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257175</xdr:colOff>
          <xdr:row>2</xdr:row>
          <xdr:rowOff>0</xdr:rowOff>
        </xdr:from>
        <xdr:to>
          <xdr:col>18</xdr:col>
          <xdr:colOff>876300</xdr:colOff>
          <xdr:row>2</xdr:row>
          <xdr:rowOff>257175</xdr:rowOff>
        </xdr:to>
        <xdr:sp macro="" textlink="">
          <xdr:nvSpPr>
            <xdr:cNvPr id="1083" name="Object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4E618541-D253-4C2A-959E-65229AEC73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276225</xdr:colOff>
          <xdr:row>2</xdr:row>
          <xdr:rowOff>57150</xdr:rowOff>
        </xdr:from>
        <xdr:to>
          <xdr:col>20</xdr:col>
          <xdr:colOff>390525</xdr:colOff>
          <xdr:row>2</xdr:row>
          <xdr:rowOff>190500</xdr:rowOff>
        </xdr:to>
        <xdr:sp macro="" textlink="">
          <xdr:nvSpPr>
            <xdr:cNvPr id="1084" name="Object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AEA1196B-3351-4749-A7B3-866C1828E4C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66675</xdr:colOff>
          <xdr:row>2</xdr:row>
          <xdr:rowOff>0</xdr:rowOff>
        </xdr:from>
        <xdr:to>
          <xdr:col>25</xdr:col>
          <xdr:colOff>647700</xdr:colOff>
          <xdr:row>2</xdr:row>
          <xdr:rowOff>228600</xdr:rowOff>
        </xdr:to>
        <xdr:sp macro="" textlink="">
          <xdr:nvSpPr>
            <xdr:cNvPr id="1085" name="Object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E62D2EB-5741-4388-BD33-36256DC49A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26</xdr:col>
          <xdr:colOff>57150</xdr:colOff>
          <xdr:row>2</xdr:row>
          <xdr:rowOff>0</xdr:rowOff>
        </xdr:from>
        <xdr:to>
          <xdr:col>26</xdr:col>
          <xdr:colOff>676275</xdr:colOff>
          <xdr:row>2</xdr:row>
          <xdr:rowOff>228600</xdr:rowOff>
        </xdr:to>
        <xdr:sp macro="" textlink="">
          <xdr:nvSpPr>
            <xdr:cNvPr id="1086" name="Object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id="{E2CB9778-1A55-4DCD-8ADE-EC0C1960D0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257175</xdr:colOff>
          <xdr:row>2</xdr:row>
          <xdr:rowOff>0</xdr:rowOff>
        </xdr:from>
        <xdr:to>
          <xdr:col>22</xdr:col>
          <xdr:colOff>552450</xdr:colOff>
          <xdr:row>2</xdr:row>
          <xdr:rowOff>180975</xdr:rowOff>
        </xdr:to>
        <xdr:sp macro="" textlink="">
          <xdr:nvSpPr>
            <xdr:cNvPr id="1087" name="Object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D5BB3F9-CABC-42A4-8E23-84F9A91DC2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85725</xdr:colOff>
          <xdr:row>2</xdr:row>
          <xdr:rowOff>0</xdr:rowOff>
        </xdr:from>
        <xdr:to>
          <xdr:col>24</xdr:col>
          <xdr:colOff>647700</xdr:colOff>
          <xdr:row>2</xdr:row>
          <xdr:rowOff>200025</xdr:rowOff>
        </xdr:to>
        <xdr:sp macro="" textlink="">
          <xdr:nvSpPr>
            <xdr:cNvPr id="1088" name="Object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D418ED84-4B57-4B26-89F9-9100A0BDAF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257175</xdr:colOff>
          <xdr:row>2</xdr:row>
          <xdr:rowOff>0</xdr:rowOff>
        </xdr:from>
        <xdr:to>
          <xdr:col>23</xdr:col>
          <xdr:colOff>552450</xdr:colOff>
          <xdr:row>2</xdr:row>
          <xdr:rowOff>180975</xdr:rowOff>
        </xdr:to>
        <xdr:sp macro="" textlink="">
          <xdr:nvSpPr>
            <xdr:cNvPr id="1089" name="Object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9D36F36D-0EBB-45CD-9526-F6F0C4EE52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21" Type="http://schemas.openxmlformats.org/officeDocument/2006/relationships/image" Target="../media/image9.emf"/><Relationship Id="rId34" Type="http://schemas.openxmlformats.org/officeDocument/2006/relationships/image" Target="../media/image15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oleObject" Target="../embeddings/oleObject16.bin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oleObject" Target="../embeddings/oleObject14.bin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image" Target="../media/image14.emf"/><Relationship Id="rId37" Type="http://schemas.openxmlformats.org/officeDocument/2006/relationships/oleObject" Target="../embeddings/oleObject18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36" Type="http://schemas.openxmlformats.org/officeDocument/2006/relationships/image" Target="../media/image16.emf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oleObject" Target="../embeddings/oleObject15.bin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image" Target="../media/image13.emf"/><Relationship Id="rId35" Type="http://schemas.openxmlformats.org/officeDocument/2006/relationships/oleObject" Target="../embeddings/oleObject17.bin"/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AA27"/>
  <sheetViews>
    <sheetView tabSelected="1" topLeftCell="F1" workbookViewId="0">
      <selection activeCell="Q12" sqref="Q12"/>
    </sheetView>
  </sheetViews>
  <sheetFormatPr defaultRowHeight="14.25" x14ac:dyDescent="0.2"/>
  <cols>
    <col min="13" max="13" width="17.5" customWidth="1"/>
    <col min="17" max="17" width="11" customWidth="1"/>
    <col min="18" max="18" width="12.625" customWidth="1"/>
    <col min="19" max="19" width="12.875" customWidth="1"/>
  </cols>
  <sheetData>
    <row r="1" spans="3:27" x14ac:dyDescent="0.2">
      <c r="M1" s="4" t="s">
        <v>7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3:27" x14ac:dyDescent="0.2">
      <c r="L2" s="3"/>
      <c r="M2" t="s">
        <v>4</v>
      </c>
      <c r="T2" t="s">
        <v>6</v>
      </c>
      <c r="X2" t="s">
        <v>5</v>
      </c>
    </row>
    <row r="3" spans="3:27" ht="26.25" customHeight="1" x14ac:dyDescent="0.2">
      <c r="C3" t="s">
        <v>0</v>
      </c>
      <c r="D3" t="s">
        <v>1</v>
      </c>
      <c r="E3" s="1" t="s">
        <v>2</v>
      </c>
      <c r="F3" t="s">
        <v>3</v>
      </c>
      <c r="L3" s="3"/>
    </row>
    <row r="4" spans="3:27" x14ac:dyDescent="0.2">
      <c r="L4">
        <v>1</v>
      </c>
      <c r="M4">
        <v>209</v>
      </c>
      <c r="N4">
        <v>780</v>
      </c>
      <c r="O4" s="2">
        <f>M4/N4/L4</f>
        <v>0.26794871794871794</v>
      </c>
      <c r="P4" s="2">
        <f>1/N4</f>
        <v>1.2820512820512821E-3</v>
      </c>
      <c r="Q4" s="2">
        <v>2.0000000000000001E-4</v>
      </c>
      <c r="R4" s="2">
        <v>4.0000000000000002E-4</v>
      </c>
      <c r="S4" s="2">
        <v>4.0000000000000002E-4</v>
      </c>
    </row>
    <row r="5" spans="3:27" x14ac:dyDescent="0.2">
      <c r="L5">
        <v>1</v>
      </c>
      <c r="M5">
        <v>287</v>
      </c>
      <c r="N5">
        <v>780</v>
      </c>
      <c r="O5" s="2">
        <f>M5/N5/L5</f>
        <v>0.36794871794871797</v>
      </c>
      <c r="P5" s="2">
        <f t="shared" ref="P5:P27" si="0">1/N5</f>
        <v>1.2820512820512821E-3</v>
      </c>
      <c r="Q5">
        <v>2.9999999999999997E-4</v>
      </c>
      <c r="R5">
        <v>6.9999999999999999E-4</v>
      </c>
      <c r="S5">
        <v>5.0000000000000001E-4</v>
      </c>
    </row>
    <row r="6" spans="3:27" x14ac:dyDescent="0.2">
      <c r="L6">
        <v>1</v>
      </c>
      <c r="M6">
        <v>337</v>
      </c>
      <c r="N6">
        <v>780</v>
      </c>
      <c r="O6" s="2">
        <f t="shared" ref="O6:O27" si="1">M6/N6/L6</f>
        <v>0.43205128205128207</v>
      </c>
      <c r="P6" s="2">
        <f t="shared" si="0"/>
        <v>1.2820512820512821E-3</v>
      </c>
      <c r="Q6">
        <v>4.0000000000000002E-4</v>
      </c>
      <c r="R6">
        <v>8.9999999999999998E-4</v>
      </c>
      <c r="S6">
        <v>6.9999999999999999E-4</v>
      </c>
    </row>
    <row r="7" spans="3:27" x14ac:dyDescent="0.2">
      <c r="L7">
        <v>1</v>
      </c>
      <c r="M7">
        <v>426</v>
      </c>
      <c r="N7">
        <v>780</v>
      </c>
      <c r="O7" s="2">
        <f t="shared" si="1"/>
        <v>0.5461538461538461</v>
      </c>
      <c r="P7" s="2">
        <f t="shared" si="0"/>
        <v>1.2820512820512821E-3</v>
      </c>
      <c r="Q7">
        <v>6.9999999999999999E-4</v>
      </c>
      <c r="R7">
        <v>1.5E-3</v>
      </c>
      <c r="S7">
        <v>1.1999999999999999E-3</v>
      </c>
    </row>
    <row r="8" spans="3:27" x14ac:dyDescent="0.2">
      <c r="L8">
        <v>1</v>
      </c>
      <c r="M8">
        <v>524</v>
      </c>
      <c r="N8">
        <v>780</v>
      </c>
      <c r="O8" s="2">
        <f t="shared" si="1"/>
        <v>0.67179487179487174</v>
      </c>
      <c r="P8" s="2">
        <f t="shared" si="0"/>
        <v>1.2820512820512821E-3</v>
      </c>
      <c r="Q8">
        <v>1.2999999999999999E-3</v>
      </c>
      <c r="R8">
        <v>2.5999999999999999E-3</v>
      </c>
      <c r="S8">
        <v>2E-3</v>
      </c>
    </row>
    <row r="9" spans="3:27" x14ac:dyDescent="0.2">
      <c r="L9">
        <v>1</v>
      </c>
      <c r="M9">
        <v>613</v>
      </c>
      <c r="N9">
        <v>780</v>
      </c>
      <c r="O9" s="2">
        <f t="shared" si="1"/>
        <v>0.78589743589743588</v>
      </c>
      <c r="P9" s="2">
        <f t="shared" si="0"/>
        <v>1.2820512820512821E-3</v>
      </c>
      <c r="Q9">
        <v>2.3999999999999998E-3</v>
      </c>
      <c r="R9">
        <v>4.7000000000000002E-3</v>
      </c>
      <c r="S9">
        <v>3.5000000000000001E-3</v>
      </c>
    </row>
    <row r="10" spans="3:27" x14ac:dyDescent="0.2">
      <c r="L10">
        <v>1</v>
      </c>
      <c r="M10">
        <v>725</v>
      </c>
      <c r="N10">
        <v>780</v>
      </c>
      <c r="O10" s="2">
        <f t="shared" si="1"/>
        <v>0.92948717948717952</v>
      </c>
      <c r="P10" s="2">
        <f t="shared" si="0"/>
        <v>1.2820512820512821E-3</v>
      </c>
      <c r="Q10">
        <v>8.3999999999999995E-3</v>
      </c>
      <c r="R10">
        <v>1.6899999999999998E-2</v>
      </c>
      <c r="S10">
        <v>1.2699999999999999E-2</v>
      </c>
    </row>
    <row r="11" spans="3:27" x14ac:dyDescent="0.2">
      <c r="L11">
        <v>1</v>
      </c>
      <c r="M11">
        <v>770</v>
      </c>
      <c r="N11">
        <v>780</v>
      </c>
      <c r="O11" s="2">
        <f t="shared" si="1"/>
        <v>0.98717948717948723</v>
      </c>
      <c r="P11" s="2">
        <f t="shared" si="0"/>
        <v>1.2820512820512821E-3</v>
      </c>
      <c r="Q11">
        <v>4.9399999999999999E-2</v>
      </c>
      <c r="R11">
        <v>9.8699999999999996E-2</v>
      </c>
      <c r="S11">
        <v>7.3999999999999996E-2</v>
      </c>
    </row>
    <row r="12" spans="3:27" x14ac:dyDescent="0.2">
      <c r="L12">
        <v>2</v>
      </c>
      <c r="M12">
        <v>426</v>
      </c>
      <c r="N12">
        <v>780</v>
      </c>
      <c r="O12" s="2">
        <f t="shared" si="1"/>
        <v>0.27307692307692305</v>
      </c>
      <c r="P12" s="2">
        <f t="shared" si="0"/>
        <v>1.2820512820512821E-3</v>
      </c>
    </row>
    <row r="13" spans="3:27" x14ac:dyDescent="0.2">
      <c r="L13">
        <v>2</v>
      </c>
      <c r="M13">
        <v>613</v>
      </c>
      <c r="N13">
        <v>780</v>
      </c>
      <c r="O13" s="2">
        <f t="shared" si="1"/>
        <v>0.39294871794871794</v>
      </c>
      <c r="P13" s="2">
        <f t="shared" si="0"/>
        <v>1.2820512820512821E-3</v>
      </c>
    </row>
    <row r="14" spans="3:27" x14ac:dyDescent="0.2">
      <c r="L14">
        <v>2</v>
      </c>
      <c r="M14">
        <v>852</v>
      </c>
      <c r="N14">
        <v>780</v>
      </c>
      <c r="O14" s="2">
        <f t="shared" si="1"/>
        <v>0.5461538461538461</v>
      </c>
      <c r="P14" s="2">
        <f t="shared" si="0"/>
        <v>1.2820512820512821E-3</v>
      </c>
    </row>
    <row r="15" spans="3:27" x14ac:dyDescent="0.2">
      <c r="L15">
        <v>2</v>
      </c>
      <c r="M15">
        <v>1095</v>
      </c>
      <c r="N15">
        <v>780</v>
      </c>
      <c r="O15" s="2">
        <f t="shared" si="1"/>
        <v>0.70192307692307687</v>
      </c>
      <c r="P15" s="2">
        <f t="shared" si="0"/>
        <v>1.2820512820512821E-3</v>
      </c>
    </row>
    <row r="16" spans="3:27" x14ac:dyDescent="0.2">
      <c r="L16">
        <v>2</v>
      </c>
      <c r="M16">
        <v>1278</v>
      </c>
      <c r="N16">
        <v>780</v>
      </c>
      <c r="O16" s="2">
        <f t="shared" si="1"/>
        <v>0.81923076923076921</v>
      </c>
      <c r="P16" s="2">
        <f t="shared" si="0"/>
        <v>1.2820512820512821E-3</v>
      </c>
    </row>
    <row r="17" spans="12:16" x14ac:dyDescent="0.2">
      <c r="L17">
        <v>2</v>
      </c>
      <c r="M17">
        <v>1338</v>
      </c>
      <c r="N17">
        <v>780</v>
      </c>
      <c r="O17" s="2">
        <f t="shared" si="1"/>
        <v>0.85769230769230764</v>
      </c>
      <c r="P17" s="2">
        <f t="shared" si="0"/>
        <v>1.2820512820512821E-3</v>
      </c>
    </row>
    <row r="18" spans="12:16" x14ac:dyDescent="0.2">
      <c r="L18">
        <v>2</v>
      </c>
      <c r="M18">
        <v>1446</v>
      </c>
      <c r="N18">
        <v>780</v>
      </c>
      <c r="O18" s="2">
        <f t="shared" si="1"/>
        <v>0.92692307692307696</v>
      </c>
      <c r="P18" s="2">
        <f t="shared" si="0"/>
        <v>1.2820512820512821E-3</v>
      </c>
    </row>
    <row r="19" spans="12:16" x14ac:dyDescent="0.2">
      <c r="L19">
        <v>2</v>
      </c>
      <c r="M19">
        <v>1478</v>
      </c>
      <c r="N19">
        <v>780</v>
      </c>
      <c r="O19" s="2">
        <f t="shared" si="1"/>
        <v>0.9474358974358974</v>
      </c>
      <c r="P19" s="2">
        <f t="shared" si="0"/>
        <v>1.2820512820512821E-3</v>
      </c>
    </row>
    <row r="20" spans="12:16" x14ac:dyDescent="0.2">
      <c r="L20">
        <v>4</v>
      </c>
      <c r="M20">
        <v>426</v>
      </c>
      <c r="N20">
        <v>780</v>
      </c>
      <c r="O20" s="2">
        <f t="shared" si="1"/>
        <v>0.13653846153846153</v>
      </c>
      <c r="P20" s="2">
        <f t="shared" si="0"/>
        <v>1.2820512820512821E-3</v>
      </c>
    </row>
    <row r="21" spans="12:16" x14ac:dyDescent="0.2">
      <c r="L21">
        <v>4</v>
      </c>
      <c r="M21">
        <v>613</v>
      </c>
      <c r="N21">
        <v>780</v>
      </c>
      <c r="O21" s="2">
        <f t="shared" si="1"/>
        <v>0.19647435897435897</v>
      </c>
      <c r="P21" s="2">
        <f t="shared" si="0"/>
        <v>1.2820512820512821E-3</v>
      </c>
    </row>
    <row r="22" spans="12:16" x14ac:dyDescent="0.2">
      <c r="L22">
        <v>4</v>
      </c>
      <c r="M22">
        <v>852</v>
      </c>
      <c r="N22">
        <v>780</v>
      </c>
      <c r="O22" s="2">
        <f t="shared" si="1"/>
        <v>0.27307692307692305</v>
      </c>
      <c r="P22" s="2">
        <f t="shared" si="0"/>
        <v>1.2820512820512821E-3</v>
      </c>
    </row>
    <row r="23" spans="12:16" x14ac:dyDescent="0.2">
      <c r="L23">
        <v>4</v>
      </c>
      <c r="M23">
        <v>1095</v>
      </c>
      <c r="N23">
        <v>780</v>
      </c>
      <c r="O23" s="2">
        <f t="shared" si="1"/>
        <v>0.35096153846153844</v>
      </c>
      <c r="P23" s="2">
        <f t="shared" si="0"/>
        <v>1.2820512820512821E-3</v>
      </c>
    </row>
    <row r="24" spans="12:16" x14ac:dyDescent="0.2">
      <c r="L24">
        <v>4</v>
      </c>
      <c r="M24">
        <v>1278</v>
      </c>
      <c r="N24">
        <v>780</v>
      </c>
      <c r="O24" s="2">
        <f t="shared" si="1"/>
        <v>0.4096153846153846</v>
      </c>
      <c r="P24" s="2">
        <f t="shared" si="0"/>
        <v>1.2820512820512821E-3</v>
      </c>
    </row>
    <row r="25" spans="12:16" x14ac:dyDescent="0.2">
      <c r="L25">
        <v>4</v>
      </c>
      <c r="M25">
        <v>1338</v>
      </c>
      <c r="N25">
        <v>780</v>
      </c>
      <c r="O25" s="2">
        <f t="shared" si="1"/>
        <v>0.42884615384615382</v>
      </c>
      <c r="P25" s="2">
        <f t="shared" si="0"/>
        <v>1.2820512820512821E-3</v>
      </c>
    </row>
    <row r="26" spans="12:16" x14ac:dyDescent="0.2">
      <c r="L26">
        <v>4</v>
      </c>
      <c r="M26">
        <v>1446</v>
      </c>
      <c r="N26">
        <v>780</v>
      </c>
      <c r="O26" s="2">
        <f t="shared" si="1"/>
        <v>0.46346153846153848</v>
      </c>
      <c r="P26" s="2">
        <f t="shared" si="0"/>
        <v>1.2820512820512821E-3</v>
      </c>
    </row>
    <row r="27" spans="12:16" x14ac:dyDescent="0.2">
      <c r="L27">
        <v>4</v>
      </c>
      <c r="M27">
        <v>1478</v>
      </c>
      <c r="N27">
        <v>780</v>
      </c>
      <c r="O27" s="2">
        <f t="shared" si="1"/>
        <v>0.4737179487179487</v>
      </c>
      <c r="P27" s="2">
        <f t="shared" si="0"/>
        <v>1.2820512820512821E-3</v>
      </c>
    </row>
  </sheetData>
  <mergeCells count="2">
    <mergeCell ref="L2:L3"/>
    <mergeCell ref="M1:AA1"/>
  </mergeCells>
  <phoneticPr fontId="1" type="noConversion"/>
  <pageMargins left="0.7" right="0.7" top="0.75" bottom="0.75" header="0.3" footer="0.3"/>
  <pageSetup paperSize="9"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Equation.DSMT4" shapeId="1025" r:id="rId4">
          <objectPr defaultSize="0" r:id="rId5">
            <anchor moveWithCells="1">
              <from>
                <xdr:col>7</xdr:col>
                <xdr:colOff>333375</xdr:colOff>
                <xdr:row>7</xdr:row>
                <xdr:rowOff>104775</xdr:rowOff>
              </from>
              <to>
                <xdr:col>9</xdr:col>
                <xdr:colOff>171450</xdr:colOff>
                <xdr:row>8</xdr:row>
                <xdr:rowOff>161925</xdr:rowOff>
              </to>
            </anchor>
          </objectPr>
        </oleObject>
      </mc:Choice>
      <mc:Fallback>
        <oleObject progId="Equation.DSMT4" shapeId="1025" r:id="rId4"/>
      </mc:Fallback>
    </mc:AlternateContent>
    <mc:AlternateContent xmlns:mc="http://schemas.openxmlformats.org/markup-compatibility/2006">
      <mc:Choice Requires="x14">
        <oleObject progId="Equation.DSMT4" shapeId="1026" r:id="rId6">
          <objectPr defaultSize="0" r:id="rId7">
            <anchor moveWithCells="1">
              <from>
                <xdr:col>11</xdr:col>
                <xdr:colOff>285750</xdr:colOff>
                <xdr:row>1</xdr:row>
                <xdr:rowOff>123825</xdr:rowOff>
              </from>
              <to>
                <xdr:col>11</xdr:col>
                <xdr:colOff>381000</xdr:colOff>
                <xdr:row>2</xdr:row>
                <xdr:rowOff>57150</xdr:rowOff>
              </to>
            </anchor>
          </objectPr>
        </oleObject>
      </mc:Choice>
      <mc:Fallback>
        <oleObject progId="Equation.DSMT4" shapeId="1026" r:id="rId6"/>
      </mc:Fallback>
    </mc:AlternateContent>
    <mc:AlternateContent xmlns:mc="http://schemas.openxmlformats.org/markup-compatibility/2006">
      <mc:Choice Requires="x14">
        <oleObject progId="Equation.DSMT4" shapeId="1027" r:id="rId8">
          <objectPr defaultSize="0" r:id="rId9">
            <anchor moveWithCells="1">
              <from>
                <xdr:col>12</xdr:col>
                <xdr:colOff>571500</xdr:colOff>
                <xdr:row>2</xdr:row>
                <xdr:rowOff>19050</xdr:rowOff>
              </from>
              <to>
                <xdr:col>12</xdr:col>
                <xdr:colOff>733425</xdr:colOff>
                <xdr:row>2</xdr:row>
                <xdr:rowOff>190500</xdr:rowOff>
              </to>
            </anchor>
          </objectPr>
        </oleObject>
      </mc:Choice>
      <mc:Fallback>
        <oleObject progId="Equation.DSMT4" shapeId="1027" r:id="rId8"/>
      </mc:Fallback>
    </mc:AlternateContent>
    <mc:AlternateContent xmlns:mc="http://schemas.openxmlformats.org/markup-compatibility/2006">
      <mc:Choice Requires="x14">
        <oleObject progId="Equation.DSMT4" shapeId="1028" r:id="rId10">
          <objectPr defaultSize="0" r:id="rId11">
            <anchor moveWithCells="1">
              <from>
                <xdr:col>13</xdr:col>
                <xdr:colOff>266700</xdr:colOff>
                <xdr:row>2</xdr:row>
                <xdr:rowOff>0</xdr:rowOff>
              </from>
              <to>
                <xdr:col>13</xdr:col>
                <xdr:colOff>428625</xdr:colOff>
                <xdr:row>2</xdr:row>
                <xdr:rowOff>190500</xdr:rowOff>
              </to>
            </anchor>
          </objectPr>
        </oleObject>
      </mc:Choice>
      <mc:Fallback>
        <oleObject progId="Equation.DSMT4" shapeId="1028" r:id="rId10"/>
      </mc:Fallback>
    </mc:AlternateContent>
    <mc:AlternateContent xmlns:mc="http://schemas.openxmlformats.org/markup-compatibility/2006">
      <mc:Choice Requires="x14">
        <oleObject progId="Equation.DSMT4" shapeId="1029" r:id="rId12">
          <objectPr defaultSize="0" r:id="rId13">
            <anchor moveWithCells="1">
              <from>
                <xdr:col>14</xdr:col>
                <xdr:colOff>276225</xdr:colOff>
                <xdr:row>2</xdr:row>
                <xdr:rowOff>9525</xdr:rowOff>
              </from>
              <to>
                <xdr:col>14</xdr:col>
                <xdr:colOff>438150</xdr:colOff>
                <xdr:row>2</xdr:row>
                <xdr:rowOff>200025</xdr:rowOff>
              </to>
            </anchor>
          </objectPr>
        </oleObject>
      </mc:Choice>
      <mc:Fallback>
        <oleObject progId="Equation.DSMT4" shapeId="1029" r:id="rId12"/>
      </mc:Fallback>
    </mc:AlternateContent>
    <mc:AlternateContent xmlns:mc="http://schemas.openxmlformats.org/markup-compatibility/2006">
      <mc:Choice Requires="x14">
        <oleObject progId="Equation.DSMT4" shapeId="1030" r:id="rId14">
          <objectPr defaultSize="0" r:id="rId15">
            <anchor moveWithCells="1">
              <from>
                <xdr:col>15</xdr:col>
                <xdr:colOff>257175</xdr:colOff>
                <xdr:row>2</xdr:row>
                <xdr:rowOff>0</xdr:rowOff>
              </from>
              <to>
                <xdr:col>15</xdr:col>
                <xdr:colOff>447675</xdr:colOff>
                <xdr:row>2</xdr:row>
                <xdr:rowOff>238125</xdr:rowOff>
              </to>
            </anchor>
          </objectPr>
        </oleObject>
      </mc:Choice>
      <mc:Fallback>
        <oleObject progId="Equation.DSMT4" shapeId="1030" r:id="rId14"/>
      </mc:Fallback>
    </mc:AlternateContent>
    <mc:AlternateContent xmlns:mc="http://schemas.openxmlformats.org/markup-compatibility/2006">
      <mc:Choice Requires="x14">
        <oleObject progId="Equation.DSMT4" shapeId="1031" r:id="rId16">
          <objectPr defaultSize="0" r:id="rId17">
            <anchor moveWithCells="1">
              <from>
                <xdr:col>19</xdr:col>
                <xdr:colOff>219075</xdr:colOff>
                <xdr:row>2</xdr:row>
                <xdr:rowOff>0</xdr:rowOff>
              </from>
              <to>
                <xdr:col>19</xdr:col>
                <xdr:colOff>495300</xdr:colOff>
                <xdr:row>2</xdr:row>
                <xdr:rowOff>209550</xdr:rowOff>
              </to>
            </anchor>
          </objectPr>
        </oleObject>
      </mc:Choice>
      <mc:Fallback>
        <oleObject progId="Equation.DSMT4" shapeId="1031" r:id="rId16"/>
      </mc:Fallback>
    </mc:AlternateContent>
    <mc:AlternateContent xmlns:mc="http://schemas.openxmlformats.org/markup-compatibility/2006">
      <mc:Choice Requires="x14">
        <oleObject progId="Equation.DSMT4" shapeId="1032" r:id="rId18">
          <objectPr defaultSize="0" r:id="rId19">
            <anchor moveWithCells="1">
              <from>
                <xdr:col>21</xdr:col>
                <xdr:colOff>257175</xdr:colOff>
                <xdr:row>2</xdr:row>
                <xdr:rowOff>0</xdr:rowOff>
              </from>
              <to>
                <xdr:col>21</xdr:col>
                <xdr:colOff>419100</xdr:colOff>
                <xdr:row>2</xdr:row>
                <xdr:rowOff>161925</xdr:rowOff>
              </to>
            </anchor>
          </objectPr>
        </oleObject>
      </mc:Choice>
      <mc:Fallback>
        <oleObject progId="Equation.DSMT4" shapeId="1032" r:id="rId18"/>
      </mc:Fallback>
    </mc:AlternateContent>
    <mc:AlternateContent xmlns:mc="http://schemas.openxmlformats.org/markup-compatibility/2006">
      <mc:Choice Requires="x14">
        <oleObject progId="Equation.DSMT4" shapeId="1034" r:id="rId20">
          <objectPr defaultSize="0" r:id="rId21">
            <anchor moveWithCells="1">
              <from>
                <xdr:col>5</xdr:col>
                <xdr:colOff>0</xdr:colOff>
                <xdr:row>9</xdr:row>
                <xdr:rowOff>0</xdr:rowOff>
              </from>
              <to>
                <xdr:col>5</xdr:col>
                <xdr:colOff>114300</xdr:colOff>
                <xdr:row>9</xdr:row>
                <xdr:rowOff>133350</xdr:rowOff>
              </to>
            </anchor>
          </objectPr>
        </oleObject>
      </mc:Choice>
      <mc:Fallback>
        <oleObject progId="Equation.DSMT4" shapeId="1034" r:id="rId20"/>
      </mc:Fallback>
    </mc:AlternateContent>
    <mc:AlternateContent xmlns:mc="http://schemas.openxmlformats.org/markup-compatibility/2006">
      <mc:Choice Requires="x14">
        <oleObject progId="Equation.DSMT4" shapeId="1081" r:id="rId22">
          <objectPr defaultSize="0" autoPict="0" r:id="rId23">
            <anchor moveWithCells="1">
              <from>
                <xdr:col>16</xdr:col>
                <xdr:colOff>180975</xdr:colOff>
                <xdr:row>2</xdr:row>
                <xdr:rowOff>0</xdr:rowOff>
              </from>
              <to>
                <xdr:col>16</xdr:col>
                <xdr:colOff>742950</xdr:colOff>
                <xdr:row>2</xdr:row>
                <xdr:rowOff>257175</xdr:rowOff>
              </to>
            </anchor>
          </objectPr>
        </oleObject>
      </mc:Choice>
      <mc:Fallback>
        <oleObject progId="Equation.DSMT4" shapeId="1081" r:id="rId22"/>
      </mc:Fallback>
    </mc:AlternateContent>
    <mc:AlternateContent xmlns:mc="http://schemas.openxmlformats.org/markup-compatibility/2006">
      <mc:Choice Requires="x14">
        <oleObject progId="Equation.DSMT4" shapeId="1082" r:id="rId24">
          <objectPr defaultSize="0" r:id="rId25">
            <anchor moveWithCells="1">
              <from>
                <xdr:col>17</xdr:col>
                <xdr:colOff>257175</xdr:colOff>
                <xdr:row>2</xdr:row>
                <xdr:rowOff>0</xdr:rowOff>
              </from>
              <to>
                <xdr:col>17</xdr:col>
                <xdr:colOff>838200</xdr:colOff>
                <xdr:row>2</xdr:row>
                <xdr:rowOff>257175</xdr:rowOff>
              </to>
            </anchor>
          </objectPr>
        </oleObject>
      </mc:Choice>
      <mc:Fallback>
        <oleObject progId="Equation.DSMT4" shapeId="1082" r:id="rId24"/>
      </mc:Fallback>
    </mc:AlternateContent>
    <mc:AlternateContent xmlns:mc="http://schemas.openxmlformats.org/markup-compatibility/2006">
      <mc:Choice Requires="x14">
        <oleObject progId="Equation.DSMT4" shapeId="1083" r:id="rId26">
          <objectPr defaultSize="0" r:id="rId27">
            <anchor moveWithCells="1">
              <from>
                <xdr:col>18</xdr:col>
                <xdr:colOff>257175</xdr:colOff>
                <xdr:row>2</xdr:row>
                <xdr:rowOff>0</xdr:rowOff>
              </from>
              <to>
                <xdr:col>18</xdr:col>
                <xdr:colOff>876300</xdr:colOff>
                <xdr:row>2</xdr:row>
                <xdr:rowOff>257175</xdr:rowOff>
              </to>
            </anchor>
          </objectPr>
        </oleObject>
      </mc:Choice>
      <mc:Fallback>
        <oleObject progId="Equation.DSMT4" shapeId="1083" r:id="rId26"/>
      </mc:Fallback>
    </mc:AlternateContent>
    <mc:AlternateContent xmlns:mc="http://schemas.openxmlformats.org/markup-compatibility/2006">
      <mc:Choice Requires="x14">
        <oleObject progId="Equation.DSMT4" shapeId="1084" r:id="rId28">
          <objectPr defaultSize="0" r:id="rId21">
            <anchor moveWithCells="1">
              <from>
                <xdr:col>20</xdr:col>
                <xdr:colOff>276225</xdr:colOff>
                <xdr:row>2</xdr:row>
                <xdr:rowOff>57150</xdr:rowOff>
              </from>
              <to>
                <xdr:col>20</xdr:col>
                <xdr:colOff>390525</xdr:colOff>
                <xdr:row>2</xdr:row>
                <xdr:rowOff>190500</xdr:rowOff>
              </to>
            </anchor>
          </objectPr>
        </oleObject>
      </mc:Choice>
      <mc:Fallback>
        <oleObject progId="Equation.DSMT4" shapeId="1084" r:id="rId28"/>
      </mc:Fallback>
    </mc:AlternateContent>
    <mc:AlternateContent xmlns:mc="http://schemas.openxmlformats.org/markup-compatibility/2006">
      <mc:Choice Requires="x14">
        <oleObject progId="Equation.DSMT4" shapeId="1085" r:id="rId29">
          <objectPr defaultSize="0" r:id="rId30">
            <anchor moveWithCells="1">
              <from>
                <xdr:col>25</xdr:col>
                <xdr:colOff>66675</xdr:colOff>
                <xdr:row>2</xdr:row>
                <xdr:rowOff>0</xdr:rowOff>
              </from>
              <to>
                <xdr:col>25</xdr:col>
                <xdr:colOff>647700</xdr:colOff>
                <xdr:row>2</xdr:row>
                <xdr:rowOff>228600</xdr:rowOff>
              </to>
            </anchor>
          </objectPr>
        </oleObject>
      </mc:Choice>
      <mc:Fallback>
        <oleObject progId="Equation.DSMT4" shapeId="1085" r:id="rId29"/>
      </mc:Fallback>
    </mc:AlternateContent>
    <mc:AlternateContent xmlns:mc="http://schemas.openxmlformats.org/markup-compatibility/2006">
      <mc:Choice Requires="x14">
        <oleObject progId="Equation.DSMT4" shapeId="1086" r:id="rId31">
          <objectPr defaultSize="0" r:id="rId32">
            <anchor moveWithCells="1">
              <from>
                <xdr:col>26</xdr:col>
                <xdr:colOff>57150</xdr:colOff>
                <xdr:row>2</xdr:row>
                <xdr:rowOff>0</xdr:rowOff>
              </from>
              <to>
                <xdr:col>26</xdr:col>
                <xdr:colOff>676275</xdr:colOff>
                <xdr:row>2</xdr:row>
                <xdr:rowOff>228600</xdr:rowOff>
              </to>
            </anchor>
          </objectPr>
        </oleObject>
      </mc:Choice>
      <mc:Fallback>
        <oleObject progId="Equation.DSMT4" shapeId="1086" r:id="rId31"/>
      </mc:Fallback>
    </mc:AlternateContent>
    <mc:AlternateContent xmlns:mc="http://schemas.openxmlformats.org/markup-compatibility/2006">
      <mc:Choice Requires="x14">
        <oleObject progId="Equation.DSMT4" shapeId="1087" r:id="rId33">
          <objectPr defaultSize="0" r:id="rId34">
            <anchor moveWithCells="1">
              <from>
                <xdr:col>22</xdr:col>
                <xdr:colOff>257175</xdr:colOff>
                <xdr:row>2</xdr:row>
                <xdr:rowOff>0</xdr:rowOff>
              </from>
              <to>
                <xdr:col>22</xdr:col>
                <xdr:colOff>552450</xdr:colOff>
                <xdr:row>2</xdr:row>
                <xdr:rowOff>180975</xdr:rowOff>
              </to>
            </anchor>
          </objectPr>
        </oleObject>
      </mc:Choice>
      <mc:Fallback>
        <oleObject progId="Equation.DSMT4" shapeId="1087" r:id="rId33"/>
      </mc:Fallback>
    </mc:AlternateContent>
    <mc:AlternateContent xmlns:mc="http://schemas.openxmlformats.org/markup-compatibility/2006">
      <mc:Choice Requires="x14">
        <oleObject progId="Equation.DSMT4" shapeId="1088" r:id="rId35">
          <objectPr defaultSize="0" r:id="rId36">
            <anchor moveWithCells="1">
              <from>
                <xdr:col>24</xdr:col>
                <xdr:colOff>85725</xdr:colOff>
                <xdr:row>2</xdr:row>
                <xdr:rowOff>0</xdr:rowOff>
              </from>
              <to>
                <xdr:col>24</xdr:col>
                <xdr:colOff>647700</xdr:colOff>
                <xdr:row>2</xdr:row>
                <xdr:rowOff>200025</xdr:rowOff>
              </to>
            </anchor>
          </objectPr>
        </oleObject>
      </mc:Choice>
      <mc:Fallback>
        <oleObject progId="Equation.DSMT4" shapeId="1088" r:id="rId35"/>
      </mc:Fallback>
    </mc:AlternateContent>
    <mc:AlternateContent xmlns:mc="http://schemas.openxmlformats.org/markup-compatibility/2006">
      <mc:Choice Requires="x14">
        <oleObject progId="Equation.DSMT4" shapeId="1089" r:id="rId37">
          <objectPr defaultSize="0" r:id="rId34">
            <anchor moveWithCells="1">
              <from>
                <xdr:col>23</xdr:col>
                <xdr:colOff>257175</xdr:colOff>
                <xdr:row>2</xdr:row>
                <xdr:rowOff>0</xdr:rowOff>
              </from>
              <to>
                <xdr:col>23</xdr:col>
                <xdr:colOff>552450</xdr:colOff>
                <xdr:row>2</xdr:row>
                <xdr:rowOff>180975</xdr:rowOff>
              </to>
            </anchor>
          </objectPr>
        </oleObject>
      </mc:Choice>
      <mc:Fallback>
        <oleObject progId="Equation.DSMT4" shapeId="1089" r:id="rId37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Canhui WANG</dc:creator>
  <cp:lastModifiedBy>Canhui Wang</cp:lastModifiedBy>
  <dcterms:created xsi:type="dcterms:W3CDTF">2015-06-05T18:19:34Z</dcterms:created>
  <dcterms:modified xsi:type="dcterms:W3CDTF">2025-12-18T01:07:26Z</dcterms:modified>
</cp:coreProperties>
</file>